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159c16640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 Tracker" sheetId="1" r:id="Rda0f99ab43b94ffb"/>
    <x:sheet xmlns:r="http://schemas.openxmlformats.org/officeDocument/2006/relationships" name="Summary" sheetId="2" r:id="Rd52a680fe577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43128"/>
      <x:name val="Carlito"/>
    </x:font>
    <x:font>
      <x:b/>
      <x:sz val="16"/>
      <x:color rgb="FFFFFFFF"/>
      <x:name val="Carlito"/>
    </x:font>
    <x:font>
      <x:b/>
      <x:sz val="11"/>
      <x:color rgb="FF31583A"/>
      <x:name val="Carlito"/>
    </x:font>
    <x:font>
      <x:b/>
      <x:sz val="14"/>
      <x:color rgb="FF31583A"/>
      <x:name val="Carlito"/>
    </x:font>
    <x:font>
      <x:i/>
      <x:sz val="11"/>
      <x:color rgb="FF4059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E6B48"/>
      </x:patternFill>
    </x:fill>
    <x:fill>
      <x:patternFill patternType="solid">
        <x:fgColor rgb="FFDCE7DF"/>
      </x:patternFill>
    </x:fill>
    <x:fill>
      <x:patternFill patternType="solid">
        <x:fgColor rgb="FFF4F8F5"/>
      </x:patternFill>
    </x:fill>
  </x:fills>
  <x:borders count="17">
    <x:border/>
    <x:border>
      <x:left style="medium">
        <x:color rgb="FF31583A"/>
      </x:left>
      <x:top style="medium">
        <x:color rgb="FF31583A"/>
      </x:top>
      <x:bottom style="medium">
        <x:color rgb="FF31583A"/>
      </x:bottom>
    </x:border>
    <x:border>
      <x:top style="medium">
        <x:color rgb="FF31583A"/>
      </x:top>
      <x:bottom style="medium">
        <x:color rgb="FF31583A"/>
      </x:bottom>
    </x:border>
    <x:border>
      <x:right style="medium">
        <x:color rgb="FF31583A"/>
      </x:right>
      <x:top style="medium">
        <x:color rgb="FF31583A"/>
      </x:top>
      <x:bottom style="medium">
        <x:color rgb="FF31583A"/>
      </x:bottom>
    </x:border>
    <x:border>
      <x:bottom style="thin">
        <x:color rgb="FFDCE7DF"/>
      </x:bottom>
    </x:border>
    <x:border>
      <x:top style="thin">
        <x:color rgb="FFDCE7DF"/>
      </x:top>
      <x:bottom style="thin">
        <x:color rgb="FFDCE7DF"/>
      </x:bottom>
    </x:border>
    <x:border>
      <x:top style="thin">
        <x:color rgb="FFDCE7DF"/>
      </x:top>
    </x:border>
    <x:border>
      <x:left style="medium">
        <x:color rgb="FF9EB7A5"/>
      </x:left>
      <x:top style="medium">
        <x:color rgb="FF9EB7A5"/>
      </x:top>
      <x:bottom style="medium">
        <x:color rgb="FF9EB7A5"/>
      </x:bottom>
    </x:border>
    <x:border>
      <x:right style="medium">
        <x:color rgb="FF9EB7A5"/>
      </x:right>
      <x:top style="medium">
        <x:color rgb="FF9EB7A5"/>
      </x:top>
      <x:bottom style="medium">
        <x:color rgb="FF9EB7A5"/>
      </x:bottom>
    </x:border>
    <x:border>
      <x:left style="thin">
        <x:color rgb="FFC9D9CD"/>
      </x:left>
      <x:top style="thin">
        <x:color rgb="FFC9D9CD"/>
      </x:top>
    </x:border>
    <x:border>
      <x:top style="thin">
        <x:color rgb="FFC9D9CD"/>
      </x:top>
    </x:border>
    <x:border>
      <x:right style="thin">
        <x:color rgb="FFC9D9CD"/>
      </x:right>
      <x:top style="thin">
        <x:color rgb="FFC9D9CD"/>
      </x:top>
    </x:border>
    <x:border>
      <x:left style="thin">
        <x:color rgb="FFC9D9CD"/>
      </x:left>
    </x:border>
    <x:border>
      <x:right style="thin">
        <x:color rgb="FFC9D9CD"/>
      </x:right>
    </x:border>
    <x:border>
      <x:left style="thin">
        <x:color rgb="FFC9D9CD"/>
      </x:left>
      <x:bottom style="thin">
        <x:color rgb="FFC9D9CD"/>
      </x:bottom>
    </x:border>
    <x:border>
      <x:bottom style="thin">
        <x:color rgb="FFC9D9CD"/>
      </x:bottom>
    </x:border>
    <x:border>
      <x:right style="thin">
        <x:color rgb="FFC9D9CD"/>
      </x:right>
      <x:bottom style="thin">
        <x:color rgb="FFC9D9CD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200" fontId="5" fillId="0" borderId="4" xfId="0" applyNumberFormat="1" applyFont="1" applyFill="1" applyBorder="1"/>
    <x:xf numFmtId="200" fontId="5" fillId="0" borderId="5" xfId="0" applyNumberFormat="1" applyFont="1" applyFill="1" applyBorder="1"/>
    <x:xf numFmtId="200" fontId="5" fillId="0" borderId="6" xfId="0" applyNumberFormat="1" applyFont="1" applyFill="1" applyBorder="1"/>
    <x:xf numFmtId="200" fontId="5" fillId="0" borderId="4" xfId="0" applyNumberFormat="1" applyFont="1" applyFill="1" applyBorder="1" applyAlignment="1">
      <x:alignment horizontal="center"/>
    </x:xf>
    <x:xf numFmtId="200" fontId="5" fillId="0" borderId="5" xfId="0" applyNumberFormat="1" applyFont="1" applyFill="1" applyBorder="1" applyAlignment="1">
      <x:alignment horizontal="center"/>
    </x:xf>
    <x:xf numFmtId="200" fontId="5" fillId="0" borderId="6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13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6" fillId="4" borderId="15" xfId="0" applyNumberFormat="1" applyFont="1" applyFill="1" applyBorder="1" applyAlignment="1">
      <x:alignment wrapText="1"/>
    </x:xf>
    <x:xf numFmtId="0" fontId="6" fillId="4" borderId="16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6" fillId="4" borderId="14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a68d0175440ea" /><Relationship Type="http://schemas.openxmlformats.org/officeDocument/2006/relationships/theme" Target="/xl/theme/theme1.xml" Id="Rc7860c7411bb4409" /><Relationship Type="http://schemas.openxmlformats.org/officeDocument/2006/relationships/sharedStrings" Target="/xl/sharedStrings.xml" Id="R1dea2aa9519c42b1" /><Relationship Type="http://schemas.openxmlformats.org/officeDocument/2006/relationships/worksheet" Target="/xl/worksheets/sheet1.xml" Id="Rda0f99ab43b94ffb" /><Relationship Type="http://schemas.openxmlformats.org/officeDocument/2006/relationships/worksheet" Target="/xl/worksheets/sheet2.xml" Id="Rd52a680fe5774c95" /></Relationships>
</file>

<file path=xl/tables/table1.xml><?xml version="1.0" encoding="utf-8"?>
<x:table xmlns:x="http://schemas.openxmlformats.org/spreadsheetml/2006/main" id="1" name="MenuCollectionTracker" displayName="MenuCollectionTracker" ref="A1:M29" headerRowCount="1" totalsRowCount="0" totalsRowShown="0">
  <x:autoFilter ref="A1:M29"/>
  <x:tableColumns count="13">
    <x:tableColumn id="1" name="shop_id"/>
    <x:tableColumn id="2" name="shop_name"/>
    <x:tableColumn id="3" name="shop_type"/>
    <x:tableColumn id="4" name="city"/>
    <x:tableColumn id="5" name="neighborhood"/>
    <x:tableColumn id="6" name="menu_url"/>
    <x:tableColumn id="7" name="menu_source"/>
    <x:tableColumn id="8" name="menu_source_status"/>
    <x:tableColumn id="9" name="raw_text_status"/>
    <x:tableColumn id="10" name="ai_extraction_status"/>
    <x:tableColumn id="11" name="human_review_status"/>
    <x:tableColumn id="12" name="output_file"/>
    <x:tableColumn id="13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b1eae1f4a647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.780000686645508" hidden="0" customWidth="1"/>
    <x:col min="3" max="3" width="16.110000610351562" hidden="0" customWidth="1"/>
    <x:col min="4" max="4" width="8.890000343322754" hidden="0" customWidth="1"/>
    <x:col min="5" max="5" width="13.329999923706055" hidden="0" customWidth="1"/>
    <x:col min="6" max="6" width="31.110000610351562" hidden="0" customWidth="1"/>
    <x:col min="7" max="7" width="12.779999732971191" hidden="0" customWidth="1"/>
    <x:col min="8" max="8" width="13.890000343322754" hidden="0" customWidth="1"/>
    <x:col min="9" max="9" width="13.890000343322754" hidden="0" customWidth="1"/>
    <x:col min="10" max="10" width="15" hidden="0" customWidth="1"/>
    <x:col min="11" max="11" width="15.5600004196167" hidden="0" customWidth="1"/>
    <x:col min="12" max="12" width="26.670000076293945" hidden="0" customWidth="1"/>
    <x:col min="13" max="13" width="28.889999389648438" hidden="0" customWidth="1"/>
  </x:cols>
  <x:sheetData>
    <x:row r="1" ht="34" customHeight="1">
      <x:c r="A1" s="9" t="str">
        <x:v>shop_id</x:v>
      </x:c>
      <x:c r="B1" s="10" t="str">
        <x:v>shop_name</x:v>
      </x:c>
      <x:c r="C1" s="10" t="str">
        <x:v>shop_type</x:v>
      </x:c>
      <x:c r="D1" s="10" t="str">
        <x:v>city</x:v>
      </x:c>
      <x:c r="E1" s="10" t="str">
        <x:v>neighborhood</x:v>
      </x:c>
      <x:c r="F1" s="10" t="str">
        <x:v>menu_url</x:v>
      </x:c>
      <x:c r="G1" s="10" t="str">
        <x:v>menu_source</x:v>
      </x:c>
      <x:c r="H1" s="10" t="str">
        <x:v>menu_source_status</x:v>
      </x:c>
      <x:c r="I1" s="10" t="str">
        <x:v>raw_text_status</x:v>
      </x:c>
      <x:c r="J1" s="10" t="str">
        <x:v>ai_extraction_status</x:v>
      </x:c>
      <x:c r="K1" s="10" t="str">
        <x:v>human_review_status</x:v>
      </x:c>
      <x:c r="L1" s="10" t="str">
        <x:v>output_file</x:v>
      </x:c>
      <x:c r="M1" s="11" t="str">
        <x:v>notes</x:v>
      </x:c>
    </x:row>
    <x:row r="2" ht="31" customHeight="1">
      <x:c r="A2" s="19" t="str">
        <x:v>SEA001</x:v>
      </x:c>
      <x:c r="B2" s="19" t="str">
        <x:v>Matcha Magic SLU</x:v>
      </x:c>
      <x:c r="C2" s="19" t="str">
        <x:v>Matcha / Tea Shop</x:v>
      </x:c>
      <x:c r="D2" s="19" t="str">
        <x:v>Seattle</x:v>
      </x:c>
      <x:c r="E2" s="19" t="str">
        <x:v>South Lake Union</x:v>
      </x:c>
      <x:c r="F2" s="19" t="str">
        <x:v>https://www.itsmatchamagic.com/</x:v>
      </x:c>
      <x:c r="G2" s="19" t="str">
        <x:v>Official Website</x:v>
      </x:c>
      <x:c r="H2" s="19" t="str">
        <x:v>Verified</x:v>
      </x:c>
      <x:c r="I2" s="19" t="str">
        <x:v>Sample only</x:v>
      </x:c>
      <x:c r="J2" s="19" t="str">
        <x:v>Pilot sample</x:v>
      </x:c>
      <x:c r="K2" s="19" t="str">
        <x:v>Needs full-menu review</x:v>
      </x:c>
      <x:c r="L2" s="19" t="str">
        <x:v>data/processed/ai_menu_extractions/sea001_menu_items.csv</x:v>
      </x:c>
      <x:c r="M2" s="19" t="str">
        <x:v>Three-item schema test only</x:v>
      </x:c>
    </x:row>
    <x:row r="3" ht="31" customHeight="1">
      <x:c r="A3" s="20" t="str">
        <x:v>SEA002</x:v>
      </x:c>
      <x:c r="B3" s="20" t="str">
        <x:v>The Moo Bar</x:v>
      </x:c>
      <x:c r="C3" s="20" t="str">
        <x:v>Boba / Bubble Tea Shop</x:v>
      </x:c>
      <x:c r="D3" s="20" t="str">
        <x:v>Seattle</x:v>
      </x:c>
      <x:c r="E3" s="20" t="str">
        <x:v>Downtown</x:v>
      </x:c>
      <x:c r="F3" s="20" t="str">
        <x:v>https://themoobar.muncho.ai/post/detail?businessId=6330aa766d384e110d80979b&amp;noBack=true&amp;needShowSafariGuide=false</x:v>
      </x:c>
      <x:c r="G3" s="20" t="str">
        <x:v>Official Website</x:v>
      </x:c>
      <x:c r="H3" s="20" t="str">
        <x:v>Verified in pilot</x:v>
      </x:c>
      <x:c r="I3" s="20" t="str">
        <x:v>Not started</x:v>
      </x:c>
      <x:c r="J3" s="20" t="str">
        <x:v>Not started</x:v>
      </x:c>
      <x:c r="K3" s="20" t="str">
        <x:v>Not started</x:v>
      </x:c>
      <x:c r="L3" s="20" t="str"/>
      <x:c r="M3" s="20" t="str">
        <x:v>Pilot menu source available; full menu text not prepared</x:v>
      </x:c>
    </x:row>
    <x:row r="4" ht="31" customHeight="1">
      <x:c r="A4" s="20" t="str">
        <x:v>SEA003</x:v>
      </x:c>
      <x:c r="B4" s="20" t="str">
        <x:v>Hey Tea</x:v>
      </x:c>
      <x:c r="C4" s="20" t="str">
        <x:v>Matcha / Tea Shop</x:v>
      </x:c>
      <x:c r="D4" s="20" t="str">
        <x:v>Seattle</x:v>
      </x:c>
      <x:c r="E4" s="20" t="str">
        <x:v>South Lake Union</x:v>
      </x:c>
      <x:c r="F4" s="20" t="str">
        <x:v>https://apps.apple.com/us/app/heytea/id6468945008</x:v>
      </x:c>
      <x:c r="G4" s="20" t="str">
        <x:v>Official App</x:v>
      </x:c>
      <x:c r="H4" s="20" t="str">
        <x:v>Verified in pilot</x:v>
      </x:c>
      <x:c r="I4" s="20" t="str">
        <x:v>Not started</x:v>
      </x:c>
      <x:c r="J4" s="20" t="str">
        <x:v>Not started</x:v>
      </x:c>
      <x:c r="K4" s="20" t="str">
        <x:v>Not started</x:v>
      </x:c>
      <x:c r="L4" s="20" t="str"/>
      <x:c r="M4" s="20" t="str">
        <x:v>Pilot menu source available; full menu text not prepared</x:v>
      </x:c>
    </x:row>
    <x:row r="5" ht="31" customHeight="1">
      <x:c r="A5" s="20" t="str">
        <x:v>SEA004</x:v>
      </x:c>
      <x:c r="B5" s="20" t="str">
        <x:v>Matcha Man Ice Cream &amp; Taiyaki</x:v>
      </x:c>
      <x:c r="C5" s="20" t="str">
        <x:v>Bakery / Dessert Cafe</x:v>
      </x:c>
      <x:c r="D5" s="20" t="str">
        <x:v>Seattle</x:v>
      </x:c>
      <x:c r="E5" s="20" t="str">
        <x:v>Georgetown</x:v>
      </x:c>
      <x:c r="F5" s="20" t="str">
        <x:v>https://order.toasttab.com/online/matcha-man-ice-cream-taiyaki-6014-12th-ave-s</x:v>
      </x:c>
      <x:c r="G5" s="20" t="str">
        <x:v>Official Website</x:v>
      </x:c>
      <x:c r="H5" s="20" t="str">
        <x:v>Verified</x:v>
      </x:c>
      <x:c r="I5" s="20" t="str">
        <x:v>Full menu captured</x:v>
      </x:c>
      <x:c r="J5" s="20" t="str">
        <x:v>Extracted</x:v>
      </x:c>
      <x:c r="K5" s="20" t="str">
        <x:v>Reviewed</x:v>
      </x:c>
      <x:c r="L5" s="20" t="str">
        <x:v>data/processed/ai_menu_extractions/sea004_menu_items.csv</x:v>
      </x:c>
      <x:c r="M5" s="20" t="str">
        <x:v>Calibration completed</x:v>
      </x:c>
    </x:row>
    <x:row r="6" ht="31" customHeight="1">
      <x:c r="A6" s="20" t="str">
        <x:v>SEA005</x:v>
      </x:c>
      <x:c r="B6" s="20" t="str">
        <x:v>Drip Drip coffeehouse</x:v>
      </x:c>
      <x:c r="C6" s="20" t="str">
        <x:v>Cafe / Coffee Shop</x:v>
      </x:c>
      <x:c r="D6" s="20" t="str">
        <x:v>Seattle</x:v>
      </x:c>
      <x:c r="E6" s="20" t="str">
        <x:v>First Hill</x:v>
      </x:c>
      <x:c r="F6" s="20" t="str">
        <x:v>https://drip-drip-coffeehouse-seattle.cloveronline.com/menu/all</x:v>
      </x:c>
      <x:c r="G6" s="20" t="str">
        <x:v>Official Website</x:v>
      </x:c>
      <x:c r="H6" s="20" t="str">
        <x:v>Verified</x:v>
      </x:c>
      <x:c r="I6" s="20" t="str">
        <x:v>Full menu captured</x:v>
      </x:c>
      <x:c r="J6" s="20" t="str">
        <x:v>Extracted</x:v>
      </x:c>
      <x:c r="K6" s="20" t="str">
        <x:v>Reviewed</x:v>
      </x:c>
      <x:c r="L6" s="20" t="str">
        <x:v>data/processed/ai_menu_extractions/sea005_menu_items.csv</x:v>
      </x:c>
      <x:c r="M6" s="20" t="str">
        <x:v>Calibration completed</x:v>
      </x:c>
    </x:row>
    <x:row r="7" ht="31" customHeight="1">
      <x:c r="A7" s="20" t="str">
        <x:v>SEA006</x:v>
      </x:c>
      <x:c r="B7" s="20" t="str">
        <x:v>Matcha Magic Capitol Hill</x:v>
      </x:c>
      <x:c r="C7" s="20" t="str">
        <x:v>Matcha / Tea Shop</x:v>
      </x:c>
      <x:c r="D7" s="20" t="str">
        <x:v>Seattle</x:v>
      </x:c>
      <x:c r="E7" s="20" t="str">
        <x:v>Capitol Hill</x:v>
      </x:c>
      <x:c r="F7" s="20" t="str"/>
      <x:c r="G7" s="20" t="str"/>
      <x:c r="H7" s="20" t="str">
        <x:v>Not checked</x:v>
      </x:c>
      <x:c r="I7" s="20" t="str">
        <x:v>Not started</x:v>
      </x:c>
      <x:c r="J7" s="20" t="str">
        <x:v>Not started</x:v>
      </x:c>
      <x:c r="K7" s="20" t="str">
        <x:v>Not started</x:v>
      </x:c>
      <x:c r="L7" s="20" t="str"/>
      <x:c r="M7" s="20" t="str"/>
    </x:row>
    <x:row r="8" ht="31" customHeight="1">
      <x:c r="A8" s="20" t="str">
        <x:v>SEA007</x:v>
      </x:c>
      <x:c r="B8" s="20" t="str">
        <x:v>Taz Matcha</x:v>
      </x:c>
      <x:c r="C8" s="20" t="str">
        <x:v>Matcha / Tea Shop</x:v>
      </x:c>
      <x:c r="D8" s="20" t="str">
        <x:v>Seattle</x:v>
      </x:c>
      <x:c r="E8" s="20" t="str">
        <x:v>Downtown</x:v>
      </x:c>
      <x:c r="F8" s="20" t="str"/>
      <x:c r="G8" s="20" t="str"/>
      <x:c r="H8" s="20" t="str">
        <x:v>Not checked</x:v>
      </x:c>
      <x:c r="I8" s="20" t="str">
        <x:v>Not started</x:v>
      </x:c>
      <x:c r="J8" s="20" t="str">
        <x:v>Not started</x:v>
      </x:c>
      <x:c r="K8" s="20" t="str">
        <x:v>Not started</x:v>
      </x:c>
      <x:c r="L8" s="20" t="str"/>
      <x:c r="M8" s="20" t="str"/>
    </x:row>
    <x:row r="9" ht="31" customHeight="1">
      <x:c r="A9" s="20" t="str">
        <x:v>SEA008</x:v>
      </x:c>
      <x:c r="B9" s="20" t="str">
        <x:v>Mina’s Matcha</x:v>
      </x:c>
      <x:c r="C9" s="20" t="str">
        <x:v>Matcha / Tea Shop</x:v>
      </x:c>
      <x:c r="D9" s="20" t="str">
        <x:v>Seattle</x:v>
      </x:c>
      <x:c r="E9" s="20" t="str">
        <x:v>University District</x:v>
      </x:c>
      <x:c r="F9" s="20" t="str">
        <x:v>https://www.minasmatcha.com/s/Minas_Matcha_Menu.pdf</x:v>
      </x:c>
      <x:c r="G9" s="20" t="str">
        <x:v>Official Website</x:v>
      </x:c>
      <x:c r="H9" s="20" t="str">
        <x:v>Verified</x:v>
      </x:c>
      <x:c r="I9" s="20" t="str">
        <x:v>Full menu captured</x:v>
      </x:c>
      <x:c r="J9" s="20" t="str">
        <x:v>Extracted</x:v>
      </x:c>
      <x:c r="K9" s="20" t="str">
        <x:v>Reviewed</x:v>
      </x:c>
      <x:c r="L9" s="20" t="str">
        <x:v>data/processed/ai_menu_extractions/sea008_menu_items.csv</x:v>
      </x:c>
      <x:c r="M9" s="20" t="str">
        <x:v>Calibration completed</x:v>
      </x:c>
    </x:row>
    <x:row r="10" ht="31" customHeight="1">
      <x:c r="A10" s="20" t="str">
        <x:v>SEA009</x:v>
      </x:c>
      <x:c r="B10" s="20" t="str">
        <x:v>Grean Matcha</x:v>
      </x:c>
      <x:c r="C10" s="20" t="str">
        <x:v>Matcha / Tea Shop</x:v>
      </x:c>
      <x:c r="D10" s="20" t="str">
        <x:v>Seattle</x:v>
      </x:c>
      <x:c r="E10" s="20" t="str">
        <x:v>University District</x:v>
      </x:c>
      <x:c r="F10" s="20" t="str"/>
      <x:c r="G10" s="20" t="str"/>
      <x:c r="H10" s="20" t="str">
        <x:v>Not checked</x:v>
      </x:c>
      <x:c r="I10" s="20" t="str">
        <x:v>Not started</x:v>
      </x:c>
      <x:c r="J10" s="20" t="str">
        <x:v>Not started</x:v>
      </x:c>
      <x:c r="K10" s="20" t="str">
        <x:v>Not started</x:v>
      </x:c>
      <x:c r="L10" s="20" t="str"/>
      <x:c r="M10" s="20" t="str"/>
    </x:row>
    <x:row r="11" ht="31" customHeight="1">
      <x:c r="A11" s="20" t="str">
        <x:v>SEA010</x:v>
      </x:c>
      <x:c r="B11" s="20" t="str">
        <x:v>Nana’s Green Tea</x:v>
      </x:c>
      <x:c r="C11" s="20" t="str">
        <x:v>Matcha / Tea Shop</x:v>
      </x:c>
      <x:c r="D11" s="20" t="str">
        <x:v>Seattle</x:v>
      </x:c>
      <x:c r="E11" s="20" t="str">
        <x:v>Denny Triangle</x:v>
      </x:c>
      <x:c r="F11" s="20" t="str"/>
      <x:c r="G11" s="20" t="str"/>
      <x:c r="H11" s="20" t="str">
        <x:v>Not checked</x:v>
      </x:c>
      <x:c r="I11" s="20" t="str">
        <x:v>Not started</x:v>
      </x:c>
      <x:c r="J11" s="20" t="str">
        <x:v>Not started</x:v>
      </x:c>
      <x:c r="K11" s="20" t="str">
        <x:v>Not started</x:v>
      </x:c>
      <x:c r="L11" s="20" t="str"/>
      <x:c r="M11" s="20" t="str"/>
    </x:row>
    <x:row r="12" ht="31" customHeight="1">
      <x:c r="A12" s="20" t="str">
        <x:v>SEA011</x:v>
      </x:c>
      <x:c r="B12" s="20" t="str">
        <x:v>Chaco Coffee &amp; Tea</x:v>
      </x:c>
      <x:c r="C12" s="20" t="str">
        <x:v>Cafe / Coffee Shop</x:v>
      </x:c>
      <x:c r="D12" s="20" t="str">
        <x:v>Seattle</x:v>
      </x:c>
      <x:c r="E12" s="20" t="str">
        <x:v>Uptown</x:v>
      </x:c>
      <x:c r="F12" s="20" t="str"/>
      <x:c r="G12" s="20" t="str"/>
      <x:c r="H12" s="20" t="str">
        <x:v>Not checked</x:v>
      </x:c>
      <x:c r="I12" s="20" t="str">
        <x:v>Not started</x:v>
      </x:c>
      <x:c r="J12" s="20" t="str">
        <x:v>Not started</x:v>
      </x:c>
      <x:c r="K12" s="20" t="str">
        <x:v>Not started</x:v>
      </x:c>
      <x:c r="L12" s="20" t="str"/>
      <x:c r="M12" s="20" t="str"/>
    </x:row>
    <x:row r="13" ht="31" customHeight="1">
      <x:c r="A13" s="20" t="str">
        <x:v>SEA012</x:v>
      </x:c>
      <x:c r="B13" s="20" t="str">
        <x:v>Yoka Tea</x:v>
      </x:c>
      <x:c r="C13" s="20" t="str">
        <x:v>Boba / Bubble Tea Shop</x:v>
      </x:c>
      <x:c r="D13" s="20" t="str">
        <x:v>Seattle</x:v>
      </x:c>
      <x:c r="E13" s="20" t="str">
        <x:v>Madrona</x:v>
      </x:c>
      <x:c r="F13" s="20" t="str"/>
      <x:c r="G13" s="20" t="str"/>
      <x:c r="H13" s="20" t="str">
        <x:v>Not checked</x:v>
      </x:c>
      <x:c r="I13" s="20" t="str">
        <x:v>Not started</x:v>
      </x:c>
      <x:c r="J13" s="20" t="str">
        <x:v>Not started</x:v>
      </x:c>
      <x:c r="K13" s="20" t="str">
        <x:v>Not started</x:v>
      </x:c>
      <x:c r="L13" s="20" t="str"/>
      <x:c r="M13" s="20" t="str"/>
    </x:row>
    <x:row r="14" ht="31" customHeight="1">
      <x:c r="A14" s="20" t="str">
        <x:v>SEA013</x:v>
      </x:c>
      <x:c r="B14" s="20" t="str">
        <x:v>Junbi Matcha &amp; Tea - Seattle</x:v>
      </x:c>
      <x:c r="C14" s="20" t="str">
        <x:v>Matcha / Tea Shop</x:v>
      </x:c>
      <x:c r="D14" s="20" t="str">
        <x:v>Seattle</x:v>
      </x:c>
      <x:c r="E14" s="20" t="str">
        <x:v>Capitol Hill</x:v>
      </x:c>
      <x:c r="F14" s="20" t="str"/>
      <x:c r="G14" s="20" t="str"/>
      <x:c r="H14" s="20" t="str">
        <x:v>Not checked</x:v>
      </x:c>
      <x:c r="I14" s="20" t="str">
        <x:v>Not started</x:v>
      </x:c>
      <x:c r="J14" s="20" t="str">
        <x:v>Not started</x:v>
      </x:c>
      <x:c r="K14" s="20" t="str">
        <x:v>Not started</x:v>
      </x:c>
      <x:c r="L14" s="20" t="str"/>
      <x:c r="M14" s="20" t="str"/>
    </x:row>
    <x:row r="15" ht="31" customHeight="1">
      <x:c r="A15" s="20" t="str">
        <x:v>SEA014</x:v>
      </x:c>
      <x:c r="B15" s="20" t="str">
        <x:v>Lune Cafe</x:v>
      </x:c>
      <x:c r="C15" s="20" t="str">
        <x:v>Bakery / Dessert Cafe</x:v>
      </x:c>
      <x:c r="D15" s="20" t="str">
        <x:v>Seattle</x:v>
      </x:c>
      <x:c r="E15" s="20" t="str">
        <x:v>Pioneer Square</x:v>
      </x:c>
      <x:c r="F15" s="20" t="str"/>
      <x:c r="G15" s="20" t="str"/>
      <x:c r="H15" s="20" t="str">
        <x:v>Not checked</x:v>
      </x:c>
      <x:c r="I15" s="20" t="str">
        <x:v>Not started</x:v>
      </x:c>
      <x:c r="J15" s="20" t="str">
        <x:v>Not started</x:v>
      </x:c>
      <x:c r="K15" s="20" t="str">
        <x:v>Not started</x:v>
      </x:c>
      <x:c r="L15" s="20" t="str"/>
      <x:c r="M15" s="20" t="str"/>
    </x:row>
    <x:row r="16" ht="31" customHeight="1">
      <x:c r="A16" s="20" t="str">
        <x:v>SEA015</x:v>
      </x:c>
      <x:c r="B16" s="20" t="str">
        <x:v>Baiten</x:v>
      </x:c>
      <x:c r="C16" s="20" t="str">
        <x:v>Bakery / Dessert Cafe</x:v>
      </x:c>
      <x:c r="D16" s="20" t="str">
        <x:v>Seattle</x:v>
      </x:c>
      <x:c r="E16" s="20" t="str">
        <x:v>Capitol Hill</x:v>
      </x:c>
      <x:c r="F16" s="20" t="str"/>
      <x:c r="G16" s="20" t="str"/>
      <x:c r="H16" s="20" t="str">
        <x:v>Not checked</x:v>
      </x:c>
      <x:c r="I16" s="20" t="str">
        <x:v>Not started</x:v>
      </x:c>
      <x:c r="J16" s="20" t="str">
        <x:v>Not started</x:v>
      </x:c>
      <x:c r="K16" s="20" t="str">
        <x:v>Not started</x:v>
      </x:c>
      <x:c r="L16" s="20" t="str"/>
      <x:c r="M16" s="20" t="str"/>
    </x:row>
    <x:row r="17" ht="31" customHeight="1">
      <x:c r="A17" s="20" t="str">
        <x:v>SEA016</x:v>
      </x:c>
      <x:c r="B17" s="20" t="str">
        <x:v>Vale Matcha &amp; Coffee</x:v>
      </x:c>
      <x:c r="C17" s="20" t="str">
        <x:v>Matcha / Tea Shop</x:v>
      </x:c>
      <x:c r="D17" s="20" t="str">
        <x:v>Seattle</x:v>
      </x:c>
      <x:c r="E17" s="20" t="str">
        <x:v>Denny Triangle</x:v>
      </x:c>
      <x:c r="F17" s="20" t="str"/>
      <x:c r="G17" s="20" t="str"/>
      <x:c r="H17" s="20" t="str">
        <x:v>Not checked</x:v>
      </x:c>
      <x:c r="I17" s="20" t="str">
        <x:v>Not started</x:v>
      </x:c>
      <x:c r="J17" s="20" t="str">
        <x:v>Not started</x:v>
      </x:c>
      <x:c r="K17" s="20" t="str">
        <x:v>Not started</x:v>
      </x:c>
      <x:c r="L17" s="20" t="str"/>
      <x:c r="M17" s="20" t="str"/>
    </x:row>
    <x:row r="18" ht="31" customHeight="1">
      <x:c r="A18" s="20" t="str">
        <x:v>SEA017</x:v>
      </x:c>
      <x:c r="B18" s="20" t="str">
        <x:v>Elixir</x:v>
      </x:c>
      <x:c r="C18" s="20" t="str">
        <x:v>Bakery / Dessert Cafe</x:v>
      </x:c>
      <x:c r="D18" s="20" t="str">
        <x:v>Seattle</x:v>
      </x:c>
      <x:c r="E18" s="20" t="str">
        <x:v>University District</x:v>
      </x:c>
      <x:c r="F18" s="20" t="str"/>
      <x:c r="G18" s="20" t="str"/>
      <x:c r="H18" s="20" t="str">
        <x:v>Not checked</x:v>
      </x:c>
      <x:c r="I18" s="20" t="str">
        <x:v>Not started</x:v>
      </x:c>
      <x:c r="J18" s="20" t="str">
        <x:v>Not started</x:v>
      </x:c>
      <x:c r="K18" s="20" t="str">
        <x:v>Not started</x:v>
      </x:c>
      <x:c r="L18" s="20" t="str"/>
      <x:c r="M18" s="20" t="str"/>
    </x:row>
    <x:row r="19" ht="31" customHeight="1">
      <x:c r="A19" s="20" t="str">
        <x:v>SEA018</x:v>
      </x:c>
      <x:c r="B19" s="20" t="str">
        <x:v>Jin Jin Matcha</x:v>
      </x:c>
      <x:c r="C19" s="20" t="str">
        <x:v>Matcha / Tea Shop</x:v>
      </x:c>
      <x:c r="D19" s="20" t="str">
        <x:v>Seattle</x:v>
      </x:c>
      <x:c r="E19" s="20" t="str">
        <x:v>Downtown</x:v>
      </x:c>
      <x:c r="F19" s="20" t="str"/>
      <x:c r="G19" s="20" t="str"/>
      <x:c r="H19" s="20" t="str">
        <x:v>Not checked</x:v>
      </x:c>
      <x:c r="I19" s="20" t="str">
        <x:v>Not started</x:v>
      </x:c>
      <x:c r="J19" s="20" t="str">
        <x:v>Not started</x:v>
      </x:c>
      <x:c r="K19" s="20" t="str">
        <x:v>Not started</x:v>
      </x:c>
      <x:c r="L19" s="20" t="str"/>
      <x:c r="M19" s="20" t="str"/>
    </x:row>
    <x:row r="20" ht="31" customHeight="1">
      <x:c r="A20" s="20" t="str">
        <x:v>SEA019</x:v>
      </x:c>
      <x:c r="B20" s="20" t="str">
        <x:v>Miro Tea</x:v>
      </x:c>
      <x:c r="C20" s="20" t="str">
        <x:v>Matcha / Tea Shop</x:v>
      </x:c>
      <x:c r="D20" s="20" t="str">
        <x:v>Seattle</x:v>
      </x:c>
      <x:c r="E20" s="20" t="str">
        <x:v>Ballard</x:v>
      </x:c>
      <x:c r="F20" s="20" t="str"/>
      <x:c r="G20" s="20" t="str"/>
      <x:c r="H20" s="20" t="str">
        <x:v>Not checked</x:v>
      </x:c>
      <x:c r="I20" s="20" t="str">
        <x:v>Not started</x:v>
      </x:c>
      <x:c r="J20" s="20" t="str">
        <x:v>Not started</x:v>
      </x:c>
      <x:c r="K20" s="20" t="str">
        <x:v>Not started</x:v>
      </x:c>
      <x:c r="L20" s="20" t="str"/>
      <x:c r="M20" s="20" t="str"/>
    </x:row>
    <x:row r="21" ht="31" customHeight="1">
      <x:c r="A21" s="20" t="str">
        <x:v>SEA020</x:v>
      </x:c>
      <x:c r="B21" s="20" t="str">
        <x:v>Hello Em Việt Coffee &amp; Roastery</x:v>
      </x:c>
      <x:c r="C21" s="20" t="str">
        <x:v>Cafe / Coffee Shop</x:v>
      </x:c>
      <x:c r="D21" s="20" t="str">
        <x:v>Seattle</x:v>
      </x:c>
      <x:c r="E21" s="20" t="str">
        <x:v>Chinatown-International District</x:v>
      </x:c>
      <x:c r="F21" s="20" t="str"/>
      <x:c r="G21" s="20" t="str"/>
      <x:c r="H21" s="20" t="str">
        <x:v>Not checked</x:v>
      </x:c>
      <x:c r="I21" s="20" t="str">
        <x:v>Not started</x:v>
      </x:c>
      <x:c r="J21" s="20" t="str">
        <x:v>Not started</x:v>
      </x:c>
      <x:c r="K21" s="20" t="str">
        <x:v>Not started</x:v>
      </x:c>
      <x:c r="L21" s="20" t="str"/>
      <x:c r="M21" s="20" t="str"/>
    </x:row>
    <x:row r="22" ht="31" customHeight="1">
      <x:c r="A22" s="20" t="str">
        <x:v>SEA021</x:v>
      </x:c>
      <x:c r="B22" s="20" t="str">
        <x:v>OH! Bear Cafe &amp; TeaHouse</x:v>
      </x:c>
      <x:c r="C22" s="20" t="str">
        <x:v>Boba / Bubble Tea Shop</x:v>
      </x:c>
      <x:c r="D22" s="20" t="str">
        <x:v>Seattle</x:v>
      </x:c>
      <x:c r="E22" s="20" t="str">
        <x:v>University District</x:v>
      </x:c>
      <x:c r="F22" s="20" t="str"/>
      <x:c r="G22" s="20" t="str"/>
      <x:c r="H22" s="20" t="str">
        <x:v>Not checked</x:v>
      </x:c>
      <x:c r="I22" s="20" t="str">
        <x:v>Not started</x:v>
      </x:c>
      <x:c r="J22" s="20" t="str">
        <x:v>Not started</x:v>
      </x:c>
      <x:c r="K22" s="20" t="str">
        <x:v>Not started</x:v>
      </x:c>
      <x:c r="L22" s="20" t="str"/>
      <x:c r="M22" s="20" t="str"/>
    </x:row>
    <x:row r="23" ht="31" customHeight="1">
      <x:c r="A23" s="20" t="str">
        <x:v>SEA022</x:v>
      </x:c>
      <x:c r="B23" s="20" t="str">
        <x:v>Atulea</x:v>
      </x:c>
      <x:c r="C23" s="20" t="str">
        <x:v>Boba / Bubble Tea Shop</x:v>
      </x:c>
      <x:c r="D23" s="20" t="str">
        <x:v>Seattle</x:v>
      </x:c>
      <x:c r="E23" s="20" t="str">
        <x:v>Capitol Hill</x:v>
      </x:c>
      <x:c r="F23" s="20" t="str"/>
      <x:c r="G23" s="20" t="str"/>
      <x:c r="H23" s="20" t="str">
        <x:v>Not checked</x:v>
      </x:c>
      <x:c r="I23" s="20" t="str">
        <x:v>Not started</x:v>
      </x:c>
      <x:c r="J23" s="20" t="str">
        <x:v>Not started</x:v>
      </x:c>
      <x:c r="K23" s="20" t="str">
        <x:v>Not started</x:v>
      </x:c>
      <x:c r="L23" s="20" t="str"/>
      <x:c r="M23" s="20" t="str"/>
    </x:row>
    <x:row r="24" ht="31" customHeight="1">
      <x:c r="A24" s="20" t="str">
        <x:v>SEA023</x:v>
      </x:c>
      <x:c r="B24" s="20" t="str">
        <x:v>Coche Valley Dessert Cafe</x:v>
      </x:c>
      <x:c r="C24" s="20" t="str">
        <x:v>Bakery / Dessert Cafe</x:v>
      </x:c>
      <x:c r="D24" s="20" t="str">
        <x:v>Seattle</x:v>
      </x:c>
      <x:c r="E24" s="20" t="str">
        <x:v>Capitol Hill</x:v>
      </x:c>
      <x:c r="F24" s="20" t="str"/>
      <x:c r="G24" s="20" t="str"/>
      <x:c r="H24" s="20" t="str">
        <x:v>Not checked</x:v>
      </x:c>
      <x:c r="I24" s="20" t="str">
        <x:v>Not started</x:v>
      </x:c>
      <x:c r="J24" s="20" t="str">
        <x:v>Not started</x:v>
      </x:c>
      <x:c r="K24" s="20" t="str">
        <x:v>Not started</x:v>
      </x:c>
      <x:c r="L24" s="20" t="str"/>
      <x:c r="M24" s="20" t="str"/>
    </x:row>
    <x:row r="25" ht="31" customHeight="1">
      <x:c r="A25" s="20" t="str">
        <x:v>SEA024</x:v>
      </x:c>
      <x:c r="B25" s="20" t="str">
        <x:v>Yuu Tea Cafe</x:v>
      </x:c>
      <x:c r="C25" s="20" t="str">
        <x:v>Boba / Bubble Tea Shop</x:v>
      </x:c>
      <x:c r="D25" s="20" t="str">
        <x:v>Seattle</x:v>
      </x:c>
      <x:c r="E25" s="20" t="str">
        <x:v>Columbia City</x:v>
      </x:c>
      <x:c r="F25" s="20" t="str"/>
      <x:c r="G25" s="20" t="str"/>
      <x:c r="H25" s="20" t="str">
        <x:v>Not checked</x:v>
      </x:c>
      <x:c r="I25" s="20" t="str">
        <x:v>Not started</x:v>
      </x:c>
      <x:c r="J25" s="20" t="str">
        <x:v>Not started</x:v>
      </x:c>
      <x:c r="K25" s="20" t="str">
        <x:v>Not started</x:v>
      </x:c>
      <x:c r="L25" s="20" t="str"/>
      <x:c r="M25" s="20" t="str"/>
    </x:row>
    <x:row r="26" ht="31" customHeight="1">
      <x:c r="A26" s="20" t="str">
        <x:v>SEA025</x:v>
      </x:c>
      <x:c r="B26" s="20" t="str">
        <x:v>Aroom Coffee Waterfront</x:v>
      </x:c>
      <x:c r="C26" s="20" t="str">
        <x:v>Cafe / Coffee Shop</x:v>
      </x:c>
      <x:c r="D26" s="20" t="str">
        <x:v>Seattle</x:v>
      </x:c>
      <x:c r="E26" s="20" t="str">
        <x:v>Downtown Waterfront</x:v>
      </x:c>
      <x:c r="F26" s="20" t="str"/>
      <x:c r="G26" s="20" t="str"/>
      <x:c r="H26" s="20" t="str">
        <x:v>Not checked</x:v>
      </x:c>
      <x:c r="I26" s="20" t="str">
        <x:v>Not started</x:v>
      </x:c>
      <x:c r="J26" s="20" t="str">
        <x:v>Not started</x:v>
      </x:c>
      <x:c r="K26" s="20" t="str">
        <x:v>Not started</x:v>
      </x:c>
      <x:c r="L26" s="20" t="str"/>
      <x:c r="M26" s="20" t="str"/>
    </x:row>
    <x:row r="27" ht="31" customHeight="1">
      <x:c r="A27" s="20" t="str">
        <x:v>SEA026</x:v>
      </x:c>
      <x:c r="B27" s="20" t="str">
        <x:v>KOTO JELLY COFFEE</x:v>
      </x:c>
      <x:c r="C27" s="20" t="str">
        <x:v>Bakery / Dessert Cafe</x:v>
      </x:c>
      <x:c r="D27" s="20" t="str">
        <x:v>Seattle</x:v>
      </x:c>
      <x:c r="E27" s="20" t="str">
        <x:v>First Hill</x:v>
      </x:c>
      <x:c r="F27" s="20" t="str"/>
      <x:c r="G27" s="20" t="str"/>
      <x:c r="H27" s="20" t="str">
        <x:v>Not checked</x:v>
      </x:c>
      <x:c r="I27" s="20" t="str">
        <x:v>Not started</x:v>
      </x:c>
      <x:c r="J27" s="20" t="str">
        <x:v>Not started</x:v>
      </x:c>
      <x:c r="K27" s="20" t="str">
        <x:v>Not started</x:v>
      </x:c>
      <x:c r="L27" s="20" t="str"/>
      <x:c r="M27" s="20" t="str"/>
    </x:row>
    <x:row r="28" ht="31" customHeight="1">
      <x:c r="A28" s="20" t="str">
        <x:v>SEA027</x:v>
      </x:c>
      <x:c r="B28" s="20" t="str">
        <x:v>CU URBAN MARKET &amp; CAFE</x:v>
      </x:c>
      <x:c r="C28" s="20" t="str">
        <x:v>Cafe / Coffee Shop</x:v>
      </x:c>
      <x:c r="D28" s="20" t="str">
        <x:v>Seattle</x:v>
      </x:c>
      <x:c r="E28" s="20" t="str">
        <x:v>Downtown</x:v>
      </x:c>
      <x:c r="F28" s="20" t="str"/>
      <x:c r="G28" s="20" t="str"/>
      <x:c r="H28" s="20" t="str">
        <x:v>Not checked</x:v>
      </x:c>
      <x:c r="I28" s="20" t="str">
        <x:v>Not started</x:v>
      </x:c>
      <x:c r="J28" s="20" t="str">
        <x:v>Not started</x:v>
      </x:c>
      <x:c r="K28" s="20" t="str">
        <x:v>Not started</x:v>
      </x:c>
      <x:c r="L28" s="20" t="str"/>
      <x:c r="M28" s="20" t="str"/>
    </x:row>
    <x:row r="29" ht="31" customHeight="1">
      <x:c r="A29" s="21" t="str">
        <x:v>SEA028</x:v>
      </x:c>
      <x:c r="B29" s="21" t="str">
        <x:v>Howdy Y'all Coffee (Central Library)</x:v>
      </x:c>
      <x:c r="C29" s="21" t="str">
        <x:v>Cafe / Coffee Shop</x:v>
      </x:c>
      <x:c r="D29" s="21" t="str">
        <x:v>Seattle</x:v>
      </x:c>
      <x:c r="E29" s="21" t="str">
        <x:v>Downtown</x:v>
      </x:c>
      <x:c r="F29" s="21" t="str"/>
      <x:c r="G29" s="21" t="str"/>
      <x:c r="H29" s="21" t="str">
        <x:v>Not checked</x:v>
      </x:c>
      <x:c r="I29" s="21" t="str">
        <x:v>Not started</x:v>
      </x:c>
      <x:c r="J29" s="21" t="str">
        <x:v>Not started</x:v>
      </x:c>
      <x:c r="K29" s="21" t="str">
        <x:v>Not started</x:v>
      </x:c>
      <x:c r="L29" s="21" t="str"/>
      <x:c r="M29" s="21" t="str"/>
    </x:row>
  </x:sheetData>
  <x:conditionalFormatting sqref="H2:H29">
    <x:cfRule type="containsText" dxfId="0" priority="1" operator="containsText" text="Reviewed"/>
    <x:cfRule type="containsText" dxfId="1" priority="2" operator="containsText" text="Verified"/>
    <x:cfRule type="containsText" dxfId="2" priority="3" operator="containsText" text="Extracted"/>
    <x:cfRule type="containsText" dxfId="3" priority="4" operator="containsText" text="Not started"/>
    <x:cfRule type="containsText" dxfId="4" priority="5" operator="containsText" text="Blocked"/>
  </x:conditionalFormatting>
  <x:conditionalFormatting sqref="I2:I29">
    <x:cfRule type="containsText" dxfId="5" priority="6" operator="containsText" text="Reviewed"/>
    <x:cfRule type="containsText" dxfId="6" priority="7" operator="containsText" text="Verified"/>
    <x:cfRule type="containsText" dxfId="7" priority="8" operator="containsText" text="Extracted"/>
    <x:cfRule type="containsText" dxfId="8" priority="9" operator="containsText" text="Not started"/>
    <x:cfRule type="containsText" dxfId="9" priority="10" operator="containsText" text="Blocked"/>
  </x:conditionalFormatting>
  <x:conditionalFormatting sqref="J2:J29">
    <x:cfRule type="containsText" dxfId="10" priority="11" operator="containsText" text="Reviewed"/>
    <x:cfRule type="containsText" dxfId="11" priority="12" operator="containsText" text="Verified"/>
    <x:cfRule type="containsText" dxfId="12" priority="13" operator="containsText" text="Extracted"/>
    <x:cfRule type="containsText" dxfId="13" priority="14" operator="containsText" text="Not started"/>
    <x:cfRule type="containsText" dxfId="14" priority="15" operator="containsText" text="Blocked"/>
  </x:conditionalFormatting>
  <x:conditionalFormatting sqref="K2:K29">
    <x:cfRule type="containsText" dxfId="15" priority="16" operator="containsText" text="Reviewed"/>
    <x:cfRule type="containsText" dxfId="16" priority="17" operator="containsText" text="Verified"/>
    <x:cfRule type="containsText" dxfId="17" priority="18" operator="containsText" text="Extracted"/>
    <x:cfRule type="containsText" dxfId="18" priority="19" operator="containsText" text="Not started"/>
    <x:cfRule type="containsText" dxfId="19" priority="20" operator="containsText" text="Blocked"/>
  </x:conditionalFormatting>
  <x:dataValidations count="4">
    <x:dataValidation type="list" sqref="H2:H29">
      <x:formula1>"Not checked,Verified,Verified in pilot,Unavailable"</x:formula1>
    </x:dataValidation>
    <x:dataValidation type="list" sqref="I2:I29">
      <x:formula1>"Not started,Sample only,Full menu captured,Blocked"</x:formula1>
    </x:dataValidation>
    <x:dataValidation type="list" sqref="J2:J29">
      <x:formula1>"Not started,Pilot sample,Extracted,Failed"</x:formula1>
    </x:dataValidation>
    <x:dataValidation type="list" sqref="K2:K29">
      <x:formula1>"Not started,Needs full-menu review,Needs human review,Reviewed"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b1eae1f4a647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2.220000267028809" hidden="0" customWidth="1"/>
    <x:col min="3" max="3" width="13.890000343322754" hidden="0" customWidth="1"/>
    <x:col min="4" max="4" width="13.890000343322754" hidden="0" customWidth="1"/>
  </x:cols>
  <x:sheetData>
    <x:row r="1" ht="42" customHeight="1">
      <x:c r="A1" s="24" t="str">
        <x:v>Seattle Matcha - Menu Collection Progress</x:v>
      </x:c>
      <x:c r="B1" s="24"/>
      <x:c r="C1" s="24"/>
      <x:c r="D1" s="24"/>
    </x:row>
    <x:row r="3">
      <x:c r="A3" s="27" t="str">
        <x:v>Metric</x:v>
      </x:c>
      <x:c r="B3" s="28" t="str">
        <x:v>Count</x:v>
      </x:c>
    </x:row>
    <x:row r="4">
      <x:c r="A4" s="29" t="str">
        <x:v>Total shops</x:v>
      </x:c>
      <x:c r="B4" s="38" t="n">
        <x:f>COUNTA('Menu Tracker'!$A$2:$A$29)</x:f>
        <x:v>28</x:v>
      </x:c>
    </x:row>
    <x:row r="5">
      <x:c r="A5" s="30" t="str">
        <x:v>Verified menu sources</x:v>
      </x:c>
      <x:c r="B5" s="39" t="n">
        <x:f>COUNTIF('Menu Tracker'!$H$2:$H$29,"Verified")+COUNTIF('Menu Tracker'!$H$2:$H$29,"Verified in pilot")</x:f>
        <x:v>6</x:v>
      </x:c>
    </x:row>
    <x:row r="6">
      <x:c r="A6" s="30" t="str">
        <x:v>AI full-menu extractions</x:v>
      </x:c>
      <x:c r="B6" s="39" t="n">
        <x:f>COUNTIF('Menu Tracker'!$J$2:$J$29,"Extracted")</x:f>
        <x:v>3</x:v>
      </x:c>
    </x:row>
    <x:row r="7">
      <x:c r="A7" s="31" t="str">
        <x:v>Human-reviewed shops</x:v>
      </x:c>
      <x:c r="B7" s="40" t="n">
        <x:f>COUNTIF('Menu Tracker'!$K$2:$K$29,"Reviewed")</x:f>
        <x:v>3</x:v>
      </x:c>
    </x:row>
    <x:row r="9">
      <x:c r="A9" s="60" t="str">
        <x:v>Workflow: verify official menu source -&gt; capture raw menu text -&gt; run AI extraction -&gt; human review. Process shops in batches of five.</x:v>
      </x:c>
      <x:c r="B9" s="61"/>
      <x:c r="C9" s="61"/>
      <x:c r="D9" s="62"/>
    </x:row>
    <x:row r="10">
      <x:c r="A10" s="63"/>
      <x:c r="B10" s="64"/>
      <x:c r="C10" s="64"/>
      <x:c r="D10" s="65"/>
    </x:row>
    <x:row r="11">
      <x:c r="A11" s="66"/>
      <x:c r="B11" s="67"/>
      <x:c r="C11" s="67"/>
      <x:c r="D11" s="68"/>
    </x:row>
  </x:sheetData>
  <x:mergeCells>
    <x:mergeCell ref="A1:D1"/>
    <x:mergeCell ref="A9:D9"/>
    <x:mergeCell ref="A10:D10"/>
    <x:mergeCell ref="A11:D11"/>
  </x:mergeCells>
  <x:pageMargins left="0.7" right="0.7" top="0.75" bottom="0.75" header="0.3" footer="0.3"/>
</x:worksheet>
</file>